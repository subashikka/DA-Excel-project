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21"/>
  <workbookPr defaultThemeVersion="166925"/>
  <xr:revisionPtr revIDLastSave="0" documentId="8_{1697B5C7-CF74-4E04-8F09-071CC7E80DD1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DS" sheetId="3" r:id="rId1"/>
    <sheet name="dataset cpy" sheetId="1" r:id="rId2"/>
    <sheet name="Assignment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C30" i="2"/>
  <c r="C29" i="2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C15" i="2"/>
  <c r="C14" i="2"/>
  <c r="C7" i="2"/>
  <c r="C8" i="2"/>
  <c r="C6" i="2"/>
</calcChain>
</file>

<file path=xl/sharedStrings.xml><?xml version="1.0" encoding="utf-8"?>
<sst xmlns="http://schemas.openxmlformats.org/spreadsheetml/2006/main" count="330" uniqueCount="130">
  <si>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</si>
  <si>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</si>
  <si>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</si>
  <si>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</si>
  <si>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</si>
  <si>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</si>
  <si>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</si>
  <si>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</si>
  <si>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</si>
  <si>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</si>
  <si>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</si>
  <si>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</si>
  <si>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</si>
  <si>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</si>
  <si>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</si>
  <si>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</si>
  <si>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</si>
  <si>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</si>
  <si>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</si>
  <si>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</si>
  <si>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</si>
  <si>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</si>
  <si>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</si>
  <si>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</si>
  <si>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</si>
  <si>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</si>
  <si>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</si>
  <si>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</si>
  <si>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</si>
  <si>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</si>
  <si>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</si>
  <si>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</si>
  <si>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</si>
  <si>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</si>
  <si>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</si>
  <si>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</si>
  <si>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</si>
  <si>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</si>
  <si>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</si>
  <si>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</si>
  <si>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</si>
  <si>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</si>
  <si>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</si>
  <si>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</si>
  <si>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</si>
  <si>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</si>
  <si>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</si>
  <si>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</si>
  <si>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</si>
  <si>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</si>
  <si>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</si>
  <si>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</si>
  <si>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</si>
  <si>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</si>
  <si>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</si>
  <si>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</si>
  <si>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</si>
  <si>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</si>
  <si>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</si>
  <si>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</si>
  <si>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</si>
  <si>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</si>
  <si>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</si>
  <si>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</si>
  <si>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</si>
  <si>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</si>
  <si>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</si>
  <si>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</si>
  <si>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</si>
  <si>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</si>
  <si>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</si>
  <si>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</si>
  <si>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</si>
  <si>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</si>
  <si>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</si>
  <si>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</si>
  <si>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</si>
  <si>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</si>
  <si>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</si>
  <si>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</si>
  <si>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</si>
  <si>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</si>
  <si>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</si>
  <si>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</si>
  <si>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</si>
  <si>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</si>
  <si>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</si>
  <si>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</si>
  <si>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</si>
  <si>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</si>
  <si>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</si>
  <si>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</si>
  <si>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</si>
  <si>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</si>
  <si>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Day</t>
  </si>
  <si>
    <t>Country code</t>
  </si>
  <si>
    <t>month</t>
  </si>
  <si>
    <t>Basic Data Exploration</t>
  </si>
  <si>
    <t>1. Sum, Count, and Average</t>
  </si>
  <si>
    <t>Perform the following calculations using Excel functions:</t>
  </si>
  <si>
    <t>S.NO</t>
  </si>
  <si>
    <t>Question</t>
  </si>
  <si>
    <t>Ans</t>
  </si>
  <si>
    <t xml:space="preserve"> Calculate the total price of all products in the dataset.</t>
  </si>
  <si>
    <t xml:space="preserve"> Determine how many products exist in the dataset.</t>
  </si>
  <si>
    <t xml:space="preserve"> Calculate the average price of the products.</t>
  </si>
  <si>
    <t>2. Minimum and Maximum Values</t>
  </si>
  <si>
    <t>Using Excel functions:</t>
  </si>
  <si>
    <t xml:space="preserve"> Identify the minimum price among all products.</t>
  </si>
  <si>
    <t xml:space="preserve"> Identify the maximum price among all products.</t>
  </si>
  <si>
    <t>3. Logical Function – IF</t>
  </si>
  <si>
    <t>Using IF functions:</t>
  </si>
  <si>
    <t>QESTION</t>
  </si>
  <si>
    <t>Create a new column named Price Range.</t>
  </si>
  <si>
    <t>Use the IF function to categorize products based on their price:</t>
  </si>
  <si>
    <t>○ If Price ≥ $500 → classify as High Price</t>
  </si>
  <si>
    <t>○ If Price &lt; $500 → classify as Standard Price</t>
  </si>
  <si>
    <t>4. Conditional Functions – SUMIF and COUNTIF</t>
  </si>
  <si>
    <t>Perform the following conditional calculations:</t>
  </si>
  <si>
    <t>Use the SUMIF function to calculate the total price of products in the Electronics category.</t>
  </si>
  <si>
    <t>Use the COUNTIF function to determine the number of products with a price less than $100.</t>
  </si>
  <si>
    <t>5. Text Formatting – LEFT, RIGHT, MID</t>
  </si>
  <si>
    <t>● Use text functions to extract information from the Product ID column.</t>
  </si>
  <si>
    <t>● Create the following new columns:</t>
  </si>
  <si>
    <t xml:space="preserve"> Create a new column named Day with the first 2 characters of each</t>
  </si>
  <si>
    <t>Product ID' using the LEFT function.</t>
  </si>
  <si>
    <t xml:space="preserve"> Create a new column named Country Code by extracting the last 2</t>
  </si>
  <si>
    <t>characters from the 'Product ID' column using the RIGHT function.</t>
  </si>
  <si>
    <t xml:space="preserve"> Create a new column named Month by extracting the 4th to 6th</t>
  </si>
  <si>
    <t>characters from the 'Product ID' column using the MID function.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</si>
</sst>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sz val="10"/>
      <color rgb="FF000000"/>
      <name val="Arial"/>
    </font>
    <font>
      <b/>
      <sz val="12"/>
      <color theme="1"/>
      <name val="Arial"/>
    </font>
    <font>
      <sz val="12"/>
      <color theme="1"/>
      <name val="Arial"/>
    </font>
    <font>
      <b/>
      <sz val="12"/>
      <color rgb="FFFF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Border="1" applyAlignment="1"/>
    <xf numFmtId="0" fontId="2" fillId="0" borderId="0" xfId="0" applyFont="1" applyFill="1" applyBorder="1" applyAlignment="1"/>
    <xf numFmtId="0" fontId="2" fillId="3" borderId="0" xfId="0" applyFont="1" applyFill="1" applyBorder="1" applyAlignment="1"/>
    <xf numFmtId="0" fontId="3" fillId="0" borderId="0" xfId="0" applyFont="1"/>
    <xf numFmtId="0" fontId="4" fillId="0" borderId="0" xfId="0" applyFont="1"/>
    <xf numFmtId="0" fontId="3" fillId="0" borderId="2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5" fillId="0" borderId="0" xfId="0" applyFont="1"/>
    <xf numFmtId="0" fontId="3" fillId="0" borderId="1" xfId="0" applyFont="1" applyBorder="1" applyAlignment="1">
      <alignment horizontal="center"/>
    </xf>
    <xf numFmtId="0" fontId="4" fillId="0" borderId="0" xfId="0" applyFont="1" applyBorder="1"/>
    <xf numFmtId="0" fontId="3" fillId="0" borderId="5" xfId="0" applyFont="1" applyBorder="1"/>
    <xf numFmtId="0" fontId="4" fillId="0" borderId="4" xfId="0" applyFont="1" applyBorder="1"/>
    <xf numFmtId="0" fontId="4" fillId="0" borderId="3" xfId="0" applyFont="1" applyBorder="1"/>
    <xf numFmtId="0" fontId="4" fillId="0" borderId="1" xfId="0" quotePrefix="1" applyFont="1" applyBorder="1"/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4DD0E1"/>
          <bgColor rgb="FF4DD0E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4DD0E1"/>
          <bgColor rgb="FF4DD0E1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BC9AB2-6B20-416D-B372-50D6EA82C69F}" name="Dataset3" displayName="Dataset3" ref="A1:F35" totalsRowShown="0" headerRowDxfId="19" dataDxfId="18">
  <autoFilter ref="A1:F35" xr:uid="{8ABC9AB2-6B20-416D-B372-50D6EA82C69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7347A03-6815-4E7A-BBF5-512878CFA861}" name="Product ID" dataDxfId="17"/>
    <tableColumn id="2" xr3:uid="{7E3D447D-35A1-4159-8B4D-6F66BD6E956C}" name="Product Name" dataDxfId="16"/>
    <tableColumn id="3" xr3:uid="{B916FD7E-A7C0-49A6-8BD9-748C835C325C}" name="Brand Name" dataDxfId="15"/>
    <tableColumn id="4" xr3:uid="{FCC02F45-57E2-46C9-9A2D-85FCE5E821BA}" name="Price ($)" dataDxfId="14"/>
    <tableColumn id="5" xr3:uid="{8C74F472-51A5-4D97-859D-1285BD895CBE}" name="Quantity" dataDxfId="13"/>
    <tableColumn id="6" xr3:uid="{1B1F135F-11FA-4461-B6D6-428234E199B1}" name="Category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40E93F-D98F-4AC8-B83F-7DD7C223244D}" name="Dataset" displayName="Dataset" ref="A1:J35" totalsRowShown="0" headerRowDxfId="11" dataDxfId="10">
  <autoFilter ref="A1:J35" xr:uid="{A040E93F-D98F-4AC8-B83F-7DD7C223244D}"/>
  <tableColumns count="10">
    <tableColumn id="1" xr3:uid="{A7BCABBD-464B-4DDB-9D83-96CEBDC1BA52}" name="Product ID" dataDxfId="9"/>
    <tableColumn id="2" xr3:uid="{CEBEBB1E-3AB8-4FD9-96EB-40AA97F54862}" name="Product Name" dataDxfId="8"/>
    <tableColumn id="3" xr3:uid="{A6BB32D2-6D12-4F27-928E-B07DC86194E0}" name="Brand Name" dataDxfId="7"/>
    <tableColumn id="4" xr3:uid="{B097DE68-F1A4-45D3-B52E-735F4C790304}" name="Price ($)" dataDxfId="6"/>
    <tableColumn id="5" xr3:uid="{21B7C05B-261B-4CF7-BD15-ED930196DEA4}" name="Quantity" dataDxfId="5"/>
    <tableColumn id="6" xr3:uid="{1F7E175B-6DF6-4E00-93CB-25236AF42F2F}" name="Category" dataDxfId="4"/>
    <tableColumn id="7" xr3:uid="{0E9B7CAB-4DD2-42BB-AB5D-C684F26E6F48}" name="Price range" dataDxfId="3">
      <calculatedColumnFormula>IF(Dataset[[#This Row],[Price ($)]]&gt;=500,"High price","Standard price")</calculatedColumnFormula>
    </tableColumn>
    <tableColumn id="8" xr3:uid="{738719EF-0F6C-4446-9A20-26E91FB75417}" name="Day" dataDxfId="2">
      <calculatedColumnFormula>LEFT(Dataset[[#This Row],[Product ID]],2)</calculatedColumnFormula>
    </tableColumn>
    <tableColumn id="9" xr3:uid="{D71DD495-4AB2-4A83-A212-37EAD42EDE8A}" name="Country code" dataDxfId="1">
      <calculatedColumnFormula>RIGHT(Dataset[[#This Row],[Product ID]],2)</calculatedColumnFormula>
    </tableColumn>
    <tableColumn id="10" xr3:uid="{31E9D224-C239-47D4-A29A-E726B1F8D3F2}" name="month" dataDxfId="0">
      <calculatedColumnFormula>MID(Dataset[[#This Row],[Product ID]],4,3)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C6CB-BF4C-4FD1-97C5-2BD707C18BB2}">
  <dimension ref="A1:F35"/>
  <sheetViews>
    <sheetView workbookViewId="0">
      <selection activeCell="C18" sqref="C18"/>
    </sheetView>
  </sheetViews>
  <sheetFormatPr defaultRowHeight="15"/>
  <cols>
    <col min="1" max="1" width="12.85546875" bestFit="1" customWidth="1"/>
    <col min="2" max="2" width="16.140625" bestFit="1" customWidth="1"/>
    <col min="3" max="3" width="14.42578125" bestFit="1" customWidth="1"/>
    <col min="4" max="4" width="10.7109375" bestFit="1" customWidth="1"/>
    <col min="5" max="5" width="11" bestFit="1" customWidth="1"/>
    <col min="6" max="6" width="11.42578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6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</row>
    <row r="4" spans="1:6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</row>
    <row r="5" spans="1:6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</row>
    <row r="6" spans="1:6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</row>
    <row r="7" spans="1:6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</row>
    <row r="8" spans="1:6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6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6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6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</row>
    <row r="12" spans="1:6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</row>
    <row r="13" spans="1:6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</row>
    <row r="14" spans="1:6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</row>
    <row r="15" spans="1:6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</row>
    <row r="16" spans="1:6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</row>
    <row r="17" spans="1:6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</row>
    <row r="18" spans="1:6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</row>
    <row r="19" spans="1:6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</row>
    <row r="20" spans="1:6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</row>
    <row r="21" spans="1:6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</row>
    <row r="22" spans="1:6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</row>
    <row r="23" spans="1:6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</row>
    <row r="24" spans="1:6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</row>
    <row r="25" spans="1:6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</row>
    <row r="26" spans="1:6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</row>
    <row r="27" spans="1:6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</row>
    <row r="28" spans="1:6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</row>
    <row r="29" spans="1:6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</row>
    <row r="30" spans="1:6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</row>
    <row r="31" spans="1:6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</row>
    <row r="32" spans="1:6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</row>
    <row r="33" spans="1:6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</row>
    <row r="34" spans="1:6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</row>
    <row r="35" spans="1:6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workbookViewId="0">
      <selection activeCell="I15" sqref="I15"/>
    </sheetView>
  </sheetViews>
  <sheetFormatPr defaultRowHeight="15"/>
  <cols>
    <col min="1" max="1" width="12.85546875" bestFit="1" customWidth="1"/>
    <col min="2" max="2" width="16.140625" bestFit="1" customWidth="1"/>
    <col min="3" max="3" width="14.42578125" bestFit="1" customWidth="1"/>
    <col min="4" max="4" width="10.7109375" bestFit="1" customWidth="1"/>
    <col min="5" max="5" width="11" bestFit="1" customWidth="1"/>
    <col min="6" max="6" width="11.42578125" bestFit="1" customWidth="1"/>
    <col min="7" max="7" width="13.5703125" bestFit="1" customWidth="1"/>
    <col min="8" max="8" width="6.85546875" bestFit="1" customWidth="1"/>
    <col min="9" max="9" width="15.57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93</v>
      </c>
      <c r="H1" s="1" t="s">
        <v>94</v>
      </c>
      <c r="I1" s="1" t="s">
        <v>95</v>
      </c>
      <c r="J1" s="1" t="s">
        <v>96</v>
      </c>
    </row>
    <row r="2" spans="1:10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G2" s="3" t="str">
        <f>IF(Dataset[[#This Row],[Price ($)]]&gt;=500,"High price","Standard price")</f>
        <v>High price</v>
      </c>
      <c r="H2" s="3" t="str">
        <f>LEFT(Dataset[[#This Row],[Product ID]],2)</f>
        <v>28</v>
      </c>
      <c r="I2" s="3" t="str">
        <f>RIGHT(Dataset[[#This Row],[Product ID]],2)</f>
        <v>US</v>
      </c>
      <c r="J2" s="3" t="str">
        <f>MID(Dataset[[#This Row],[Product ID]],4,3)</f>
        <v>JAN</v>
      </c>
    </row>
    <row r="3" spans="1:10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3" t="str">
        <f>IF(Dataset[[#This Row],[Price ($)]]&gt;=500,"High price","Standard price")</f>
        <v>Standard price</v>
      </c>
      <c r="H3" s="3" t="str">
        <f>LEFT(Dataset[[#This Row],[Product ID]],2)</f>
        <v>15</v>
      </c>
      <c r="I3" s="3" t="str">
        <f>RIGHT(Dataset[[#This Row],[Product ID]],2)</f>
        <v>US</v>
      </c>
      <c r="J3" s="3" t="str">
        <f>MID(Dataset[[#This Row],[Product ID]],4,3)</f>
        <v>FEB</v>
      </c>
    </row>
    <row r="4" spans="1:10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3" t="str">
        <f>IF(Dataset[[#This Row],[Price ($)]]&gt;=500,"High price","Standard price")</f>
        <v>Standard price</v>
      </c>
      <c r="H4" s="3" t="str">
        <f>LEFT(Dataset[[#This Row],[Product ID]],2)</f>
        <v>03</v>
      </c>
      <c r="I4" s="3" t="str">
        <f>RIGHT(Dataset[[#This Row],[Product ID]],2)</f>
        <v>US</v>
      </c>
      <c r="J4" s="3" t="str">
        <f>MID(Dataset[[#This Row],[Product ID]],4,3)</f>
        <v>MAR</v>
      </c>
    </row>
    <row r="5" spans="1:10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3" t="str">
        <f>IF(Dataset[[#This Row],[Price ($)]]&gt;=500,"High price","Standard price")</f>
        <v>High price</v>
      </c>
      <c r="H5" s="3" t="str">
        <f>LEFT(Dataset[[#This Row],[Product ID]],2)</f>
        <v>11</v>
      </c>
      <c r="I5" s="3" t="str">
        <f>RIGHT(Dataset[[#This Row],[Product ID]],2)</f>
        <v>US</v>
      </c>
      <c r="J5" s="3" t="str">
        <f>MID(Dataset[[#This Row],[Product ID]],4,3)</f>
        <v>APR</v>
      </c>
    </row>
    <row r="6" spans="1:10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G6" s="3" t="str">
        <f>IF(Dataset[[#This Row],[Price ($)]]&gt;=500,"High price","Standard price")</f>
        <v>Standard price</v>
      </c>
      <c r="H6" s="3" t="str">
        <f>LEFT(Dataset[[#This Row],[Product ID]],2)</f>
        <v>22</v>
      </c>
      <c r="I6" s="3" t="str">
        <f>RIGHT(Dataset[[#This Row],[Product ID]],2)</f>
        <v>US</v>
      </c>
      <c r="J6" s="3" t="str">
        <f>MID(Dataset[[#This Row],[Product ID]],4,3)</f>
        <v>MAY</v>
      </c>
    </row>
    <row r="7" spans="1:10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G7" s="3" t="str">
        <f>IF(Dataset[[#This Row],[Price ($)]]&gt;=500,"High price","Standard price")</f>
        <v>Standard price</v>
      </c>
      <c r="H7" s="3" t="str">
        <f>LEFT(Dataset[[#This Row],[Product ID]],2)</f>
        <v>07</v>
      </c>
      <c r="I7" s="3" t="str">
        <f>RIGHT(Dataset[[#This Row],[Product ID]],2)</f>
        <v>UK</v>
      </c>
      <c r="J7" s="3" t="str">
        <f>MID(Dataset[[#This Row],[Product ID]],4,3)</f>
        <v>JUN</v>
      </c>
    </row>
    <row r="8" spans="1:10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s="3" t="str">
        <f>IF(Dataset[[#This Row],[Price ($)]]&gt;=500,"High price","Standard price")</f>
        <v>Standard price</v>
      </c>
      <c r="H8" s="3" t="str">
        <f>LEFT(Dataset[[#This Row],[Product ID]],2)</f>
        <v>19</v>
      </c>
      <c r="I8" s="3" t="str">
        <f>RIGHT(Dataset[[#This Row],[Product ID]],2)</f>
        <v>UK</v>
      </c>
      <c r="J8" s="3" t="str">
        <f>MID(Dataset[[#This Row],[Product ID]],4,3)</f>
        <v>JUL</v>
      </c>
    </row>
    <row r="9" spans="1:10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s="3" t="str">
        <f>IF(Dataset[[#This Row],[Price ($)]]&gt;=500,"High price","Standard price")</f>
        <v>Standard price</v>
      </c>
      <c r="H9" s="3" t="str">
        <f>LEFT(Dataset[[#This Row],[Product ID]],2)</f>
        <v>23</v>
      </c>
      <c r="I9" s="3" t="str">
        <f>RIGHT(Dataset[[#This Row],[Product ID]],2)</f>
        <v>UK</v>
      </c>
      <c r="J9" s="3" t="str">
        <f>MID(Dataset[[#This Row],[Product ID]],4,3)</f>
        <v>AUG</v>
      </c>
    </row>
    <row r="10" spans="1:10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s="3" t="str">
        <f>IF(Dataset[[#This Row],[Price ($)]]&gt;=500,"High price","Standard price")</f>
        <v>High price</v>
      </c>
      <c r="H10" s="3" t="str">
        <f>LEFT(Dataset[[#This Row],[Product ID]],2)</f>
        <v>05</v>
      </c>
      <c r="I10" s="3" t="str">
        <f>RIGHT(Dataset[[#This Row],[Product ID]],2)</f>
        <v>UK</v>
      </c>
      <c r="J10" s="3" t="str">
        <f>MID(Dataset[[#This Row],[Product ID]],4,3)</f>
        <v>SEP</v>
      </c>
    </row>
    <row r="11" spans="1:10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s="3" t="str">
        <f>IF(Dataset[[#This Row],[Price ($)]]&gt;=500,"High price","Standard price")</f>
        <v>Standard price</v>
      </c>
      <c r="H11" s="3" t="str">
        <f>LEFT(Dataset[[#This Row],[Product ID]],2)</f>
        <v>14</v>
      </c>
      <c r="I11" s="3" t="str">
        <f>RIGHT(Dataset[[#This Row],[Product ID]],2)</f>
        <v>UK</v>
      </c>
      <c r="J11" s="3" t="str">
        <f>MID(Dataset[[#This Row],[Product ID]],4,3)</f>
        <v>OCT</v>
      </c>
    </row>
    <row r="12" spans="1:10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G12" s="3" t="str">
        <f>IF(Dataset[[#This Row],[Price ($)]]&gt;=500,"High price","Standard price")</f>
        <v>High price</v>
      </c>
      <c r="H12" s="3" t="str">
        <f>LEFT(Dataset[[#This Row],[Product ID]],2)</f>
        <v>17</v>
      </c>
      <c r="I12" s="3" t="str">
        <f>RIGHT(Dataset[[#This Row],[Product ID]],2)</f>
        <v>IN</v>
      </c>
      <c r="J12" s="3" t="str">
        <f>MID(Dataset[[#This Row],[Product ID]],4,3)</f>
        <v>JUN</v>
      </c>
    </row>
    <row r="13" spans="1:10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G13" s="3" t="str">
        <f>IF(Dataset[[#This Row],[Price ($)]]&gt;=500,"High price","Standard price")</f>
        <v>Standard price</v>
      </c>
      <c r="H13" s="3" t="str">
        <f>LEFT(Dataset[[#This Row],[Product ID]],2)</f>
        <v>25</v>
      </c>
      <c r="I13" s="3" t="str">
        <f>RIGHT(Dataset[[#This Row],[Product ID]],2)</f>
        <v>AU</v>
      </c>
      <c r="J13" s="3" t="str">
        <f>MID(Dataset[[#This Row],[Product ID]],4,3)</f>
        <v>NOV</v>
      </c>
    </row>
    <row r="14" spans="1:10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G14" s="3" t="str">
        <f>IF(Dataset[[#This Row],[Price ($)]]&gt;=500,"High price","Standard price")</f>
        <v>Standard price</v>
      </c>
      <c r="H14" s="3" t="str">
        <f>LEFT(Dataset[[#This Row],[Product ID]],2)</f>
        <v>08</v>
      </c>
      <c r="I14" s="3" t="str">
        <f>RIGHT(Dataset[[#This Row],[Product ID]],2)</f>
        <v>DE</v>
      </c>
      <c r="J14" s="3" t="str">
        <f>MID(Dataset[[#This Row],[Product ID]],4,3)</f>
        <v>DEC</v>
      </c>
    </row>
    <row r="15" spans="1:10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G15" s="3" t="str">
        <f>IF(Dataset[[#This Row],[Price ($)]]&gt;=500,"High price","Standard price")</f>
        <v>Standard price</v>
      </c>
      <c r="H15" s="3" t="str">
        <f>LEFT(Dataset[[#This Row],[Product ID]],2)</f>
        <v>18</v>
      </c>
      <c r="I15" s="3" t="str">
        <f>RIGHT(Dataset[[#This Row],[Product ID]],2)</f>
        <v>CA</v>
      </c>
      <c r="J15" s="3" t="str">
        <f>MID(Dataset[[#This Row],[Product ID]],4,3)</f>
        <v>FEB</v>
      </c>
    </row>
    <row r="16" spans="1:10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G16" s="3" t="str">
        <f>IF(Dataset[[#This Row],[Price ($)]]&gt;=500,"High price","Standard price")</f>
        <v>Standard price</v>
      </c>
      <c r="H16" s="3" t="str">
        <f>LEFT(Dataset[[#This Row],[Product ID]],2)</f>
        <v>16</v>
      </c>
      <c r="I16" s="3" t="str">
        <f>RIGHT(Dataset[[#This Row],[Product ID]],2)</f>
        <v>ES</v>
      </c>
      <c r="J16" s="3" t="str">
        <f>MID(Dataset[[#This Row],[Product ID]],4,3)</f>
        <v>APR</v>
      </c>
    </row>
    <row r="17" spans="1:10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G17" s="3" t="str">
        <f>IF(Dataset[[#This Row],[Price ($)]]&gt;=500,"High price","Standard price")</f>
        <v>Standard price</v>
      </c>
      <c r="H17" s="3" t="str">
        <f>LEFT(Dataset[[#This Row],[Product ID]],2)</f>
        <v>21</v>
      </c>
      <c r="I17" s="3" t="str">
        <f>RIGHT(Dataset[[#This Row],[Product ID]],2)</f>
        <v>CA</v>
      </c>
      <c r="J17" s="3" t="str">
        <f>MID(Dataset[[#This Row],[Product ID]],4,3)</f>
        <v>AUG</v>
      </c>
    </row>
    <row r="18" spans="1:10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  <c r="G18" s="3" t="str">
        <f>IF(Dataset[[#This Row],[Price ($)]]&gt;=500,"High price","Standard price")</f>
        <v>Standard price</v>
      </c>
      <c r="H18" s="3" t="str">
        <f>LEFT(Dataset[[#This Row],[Product ID]],2)</f>
        <v>20</v>
      </c>
      <c r="I18" s="3" t="str">
        <f>RIGHT(Dataset[[#This Row],[Product ID]],2)</f>
        <v>CN</v>
      </c>
      <c r="J18" s="3" t="str">
        <f>MID(Dataset[[#This Row],[Product ID]],4,3)</f>
        <v>AUG</v>
      </c>
    </row>
    <row r="19" spans="1:10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G19" s="3" t="str">
        <f>IF(Dataset[[#This Row],[Price ($)]]&gt;=500,"High price","Standard price")</f>
        <v>High price</v>
      </c>
      <c r="H19" s="3" t="str">
        <f>LEFT(Dataset[[#This Row],[Product ID]],2)</f>
        <v>27</v>
      </c>
      <c r="I19" s="3" t="str">
        <f>RIGHT(Dataset[[#This Row],[Product ID]],2)</f>
        <v>IT</v>
      </c>
      <c r="J19" s="3" t="str">
        <f>MID(Dataset[[#This Row],[Product ID]],4,3)</f>
        <v>JAN</v>
      </c>
    </row>
    <row r="20" spans="1:10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  <c r="G20" s="3" t="str">
        <f>IF(Dataset[[#This Row],[Price ($)]]&gt;=500,"High price","Standard price")</f>
        <v>Standard price</v>
      </c>
      <c r="H20" s="3" t="str">
        <f>LEFT(Dataset[[#This Row],[Product ID]],2)</f>
        <v>01</v>
      </c>
      <c r="I20" s="3" t="str">
        <f>RIGHT(Dataset[[#This Row],[Product ID]],2)</f>
        <v>UK</v>
      </c>
      <c r="J20" s="3" t="str">
        <f>MID(Dataset[[#This Row],[Product ID]],4,3)</f>
        <v>MAR</v>
      </c>
    </row>
    <row r="21" spans="1:10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s="3" t="str">
        <f>IF(Dataset[[#This Row],[Price ($)]]&gt;=500,"High price","Standard price")</f>
        <v>Standard price</v>
      </c>
      <c r="H21" s="3" t="str">
        <f>LEFT(Dataset[[#This Row],[Product ID]],2)</f>
        <v>14</v>
      </c>
      <c r="I21" s="3" t="str">
        <f>RIGHT(Dataset[[#This Row],[Product ID]],2)</f>
        <v>US</v>
      </c>
      <c r="J21" s="3" t="str">
        <f>MID(Dataset[[#This Row],[Product ID]],4,3)</f>
        <v>AUG</v>
      </c>
    </row>
    <row r="22" spans="1:10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  <c r="G22" s="3" t="str">
        <f>IF(Dataset[[#This Row],[Price ($)]]&gt;=500,"High price","Standard price")</f>
        <v>High price</v>
      </c>
      <c r="H22" s="3" t="str">
        <f>LEFT(Dataset[[#This Row],[Product ID]],2)</f>
        <v>14</v>
      </c>
      <c r="I22" s="3" t="str">
        <f>RIGHT(Dataset[[#This Row],[Product ID]],2)</f>
        <v>RU</v>
      </c>
      <c r="J22" s="3" t="str">
        <f>MID(Dataset[[#This Row],[Product ID]],4,3)</f>
        <v>MAY</v>
      </c>
    </row>
    <row r="23" spans="1:10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G23" s="3" t="str">
        <f>IF(Dataset[[#This Row],[Price ($)]]&gt;=500,"High price","Standard price")</f>
        <v>Standard price</v>
      </c>
      <c r="H23" s="3" t="str">
        <f>LEFT(Dataset[[#This Row],[Product ID]],2)</f>
        <v>09</v>
      </c>
      <c r="I23" s="3" t="str">
        <f>RIGHT(Dataset[[#This Row],[Product ID]],2)</f>
        <v>CA</v>
      </c>
      <c r="J23" s="3" t="str">
        <f>MID(Dataset[[#This Row],[Product ID]],4,3)</f>
        <v>JAN</v>
      </c>
    </row>
    <row r="24" spans="1:10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  <c r="G24" s="3" t="str">
        <f>IF(Dataset[[#This Row],[Price ($)]]&gt;=500,"High price","Standard price")</f>
        <v>Standard price</v>
      </c>
      <c r="H24" s="3" t="str">
        <f>LEFT(Dataset[[#This Row],[Product ID]],2)</f>
        <v>19</v>
      </c>
      <c r="I24" s="3" t="str">
        <f>RIGHT(Dataset[[#This Row],[Product ID]],2)</f>
        <v>BR</v>
      </c>
      <c r="J24" s="3" t="str">
        <f>MID(Dataset[[#This Row],[Product ID]],4,3)</f>
        <v>JUL</v>
      </c>
    </row>
    <row r="25" spans="1:10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  <c r="G25" s="3" t="str">
        <f>IF(Dataset[[#This Row],[Price ($)]]&gt;=500,"High price","Standard price")</f>
        <v>Standard price</v>
      </c>
      <c r="H25" s="3" t="str">
        <f>LEFT(Dataset[[#This Row],[Product ID]],2)</f>
        <v>21</v>
      </c>
      <c r="I25" s="3" t="str">
        <f>RIGHT(Dataset[[#This Row],[Product ID]],2)</f>
        <v>CA</v>
      </c>
      <c r="J25" s="3" t="str">
        <f>MID(Dataset[[#This Row],[Product ID]],4,3)</f>
        <v>AUG</v>
      </c>
    </row>
    <row r="26" spans="1:10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  <c r="G26" s="3" t="str">
        <f>IF(Dataset[[#This Row],[Price ($)]]&gt;=500,"High price","Standard price")</f>
        <v>High price</v>
      </c>
      <c r="H26" s="3" t="str">
        <f>LEFT(Dataset[[#This Row],[Product ID]],2)</f>
        <v>29</v>
      </c>
      <c r="I26" s="3" t="str">
        <f>RIGHT(Dataset[[#This Row],[Product ID]],2)</f>
        <v>CA</v>
      </c>
      <c r="J26" s="3" t="str">
        <f>MID(Dataset[[#This Row],[Product ID]],4,3)</f>
        <v>SEP</v>
      </c>
    </row>
    <row r="27" spans="1:10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  <c r="G27" s="3" t="str">
        <f>IF(Dataset[[#This Row],[Price ($)]]&gt;=500,"High price","Standard price")</f>
        <v>Standard price</v>
      </c>
      <c r="H27" s="3" t="str">
        <f>LEFT(Dataset[[#This Row],[Product ID]],2)</f>
        <v>03</v>
      </c>
      <c r="I27" s="3" t="str">
        <f>RIGHT(Dataset[[#This Row],[Product ID]],2)</f>
        <v>CA</v>
      </c>
      <c r="J27" s="3" t="str">
        <f>MID(Dataset[[#This Row],[Product ID]],4,3)</f>
        <v>JUN</v>
      </c>
    </row>
    <row r="28" spans="1:10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  <c r="G28" s="3" t="str">
        <f>IF(Dataset[[#This Row],[Price ($)]]&gt;=500,"High price","Standard price")</f>
        <v>Standard price</v>
      </c>
      <c r="H28" s="3" t="str">
        <f>LEFT(Dataset[[#This Row],[Product ID]],2)</f>
        <v>11</v>
      </c>
      <c r="I28" s="3" t="str">
        <f>RIGHT(Dataset[[#This Row],[Product ID]],2)</f>
        <v>CA</v>
      </c>
      <c r="J28" s="3" t="str">
        <f>MID(Dataset[[#This Row],[Product ID]],4,3)</f>
        <v>JUL</v>
      </c>
    </row>
    <row r="29" spans="1:10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  <c r="G29" s="3" t="str">
        <f>IF(Dataset[[#This Row],[Price ($)]]&gt;=500,"High price","Standard price")</f>
        <v>Standard price</v>
      </c>
      <c r="H29" s="3" t="str">
        <f>LEFT(Dataset[[#This Row],[Product ID]],2)</f>
        <v>16</v>
      </c>
      <c r="I29" s="3" t="str">
        <f>RIGHT(Dataset[[#This Row],[Product ID]],2)</f>
        <v>ES</v>
      </c>
      <c r="J29" s="3" t="str">
        <f>MID(Dataset[[#This Row],[Product ID]],4,3)</f>
        <v>APR</v>
      </c>
    </row>
    <row r="30" spans="1:10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  <c r="G30" s="3" t="str">
        <f>IF(Dataset[[#This Row],[Price ($)]]&gt;=500,"High price","Standard price")</f>
        <v>Standard price</v>
      </c>
      <c r="H30" s="3" t="str">
        <f>LEFT(Dataset[[#This Row],[Product ID]],2)</f>
        <v>07</v>
      </c>
      <c r="I30" s="3" t="str">
        <f>RIGHT(Dataset[[#This Row],[Product ID]],2)</f>
        <v>CA</v>
      </c>
      <c r="J30" s="3" t="str">
        <f>MID(Dataset[[#This Row],[Product ID]],4,3)</f>
        <v>MAR</v>
      </c>
    </row>
    <row r="31" spans="1:10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  <c r="G31" s="3" t="str">
        <f>IF(Dataset[[#This Row],[Price ($)]]&gt;=500,"High price","Standard price")</f>
        <v>Standard price</v>
      </c>
      <c r="H31" s="3" t="str">
        <f>LEFT(Dataset[[#This Row],[Product ID]],2)</f>
        <v>13</v>
      </c>
      <c r="I31" s="3" t="str">
        <f>RIGHT(Dataset[[#This Row],[Product ID]],2)</f>
        <v>CA</v>
      </c>
      <c r="J31" s="3" t="str">
        <f>MID(Dataset[[#This Row],[Product ID]],4,3)</f>
        <v>APR</v>
      </c>
    </row>
    <row r="32" spans="1:10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  <c r="G32" s="3" t="str">
        <f>IF(Dataset[[#This Row],[Price ($)]]&gt;=500,"High price","Standard price")</f>
        <v>Standard price</v>
      </c>
      <c r="H32" s="3" t="str">
        <f>LEFT(Dataset[[#This Row],[Product ID]],2)</f>
        <v>24</v>
      </c>
      <c r="I32" s="3" t="str">
        <f>RIGHT(Dataset[[#This Row],[Product ID]],2)</f>
        <v>CA</v>
      </c>
      <c r="J32" s="3" t="str">
        <f>MID(Dataset[[#This Row],[Product ID]],4,3)</f>
        <v>MAY</v>
      </c>
    </row>
    <row r="33" spans="1:10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  <c r="G33" s="3" t="str">
        <f>IF(Dataset[[#This Row],[Price ($)]]&gt;=500,"High price","Standard price")</f>
        <v>Standard price</v>
      </c>
      <c r="H33" s="3" t="str">
        <f>LEFT(Dataset[[#This Row],[Product ID]],2)</f>
        <v>02</v>
      </c>
      <c r="I33" s="3" t="str">
        <f>RIGHT(Dataset[[#This Row],[Product ID]],2)</f>
        <v>CA</v>
      </c>
      <c r="J33" s="3" t="str">
        <f>MID(Dataset[[#This Row],[Product ID]],4,3)</f>
        <v>DEC</v>
      </c>
    </row>
    <row r="34" spans="1:10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  <c r="G34" s="3" t="str">
        <f>IF(Dataset[[#This Row],[Price ($)]]&gt;=500,"High price","Standard price")</f>
        <v>High price</v>
      </c>
      <c r="H34" s="3" t="str">
        <f>LEFT(Dataset[[#This Row],[Product ID]],2)</f>
        <v>17</v>
      </c>
      <c r="I34" s="3" t="str">
        <f>RIGHT(Dataset[[#This Row],[Product ID]],2)</f>
        <v>IN</v>
      </c>
      <c r="J34" s="3" t="str">
        <f>MID(Dataset[[#This Row],[Product ID]],4,3)</f>
        <v>JUN</v>
      </c>
    </row>
    <row r="35" spans="1:10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  <c r="G35" s="3" t="str">
        <f>IF(Dataset[[#This Row],[Price ($)]]&gt;=500,"High price","Standard price")</f>
        <v>Standard price</v>
      </c>
      <c r="H35" s="3" t="str">
        <f>LEFT(Dataset[[#This Row],[Product ID]],2)</f>
        <v>09</v>
      </c>
      <c r="I35" s="3" t="str">
        <f>RIGHT(Dataset[[#This Row],[Product ID]],2)</f>
        <v>FR</v>
      </c>
      <c r="J35" s="3" t="str">
        <f>MID(Dataset[[#This Row],[Product ID]],4,3)</f>
        <v>JUL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73F73-7823-420C-9093-34BF1FED33C6}">
  <dimension ref="A1:C41"/>
  <sheetViews>
    <sheetView tabSelected="1" topLeftCell="A21" workbookViewId="0">
      <selection activeCell="B23" sqref="B23"/>
    </sheetView>
  </sheetViews>
  <sheetFormatPr defaultRowHeight="15"/>
  <cols>
    <col min="1" max="1" width="74.28515625" style="5" bestFit="1" customWidth="1"/>
    <col min="2" max="2" width="96.85546875" style="5" bestFit="1" customWidth="1"/>
    <col min="3" max="3" width="15.5703125" style="5" bestFit="1" customWidth="1"/>
    <col min="4" max="16384" width="9.140625" style="5"/>
  </cols>
  <sheetData>
    <row r="1" spans="1:3" ht="15.75">
      <c r="A1" s="4" t="s">
        <v>97</v>
      </c>
    </row>
    <row r="3" spans="1:3" ht="15.75">
      <c r="A3" s="10" t="s">
        <v>98</v>
      </c>
    </row>
    <row r="4" spans="1:3" ht="15.75">
      <c r="A4" s="4" t="s">
        <v>99</v>
      </c>
    </row>
    <row r="5" spans="1:3" ht="15.75">
      <c r="A5" s="11" t="s">
        <v>100</v>
      </c>
      <c r="B5" s="6" t="s">
        <v>101</v>
      </c>
      <c r="C5" s="7" t="s">
        <v>102</v>
      </c>
    </row>
    <row r="6" spans="1:3">
      <c r="A6" s="8">
        <v>1</v>
      </c>
      <c r="B6" s="9" t="s">
        <v>103</v>
      </c>
      <c r="C6" s="8">
        <f>SUM(Dataset[Price ($)])</f>
        <v>10100</v>
      </c>
    </row>
    <row r="7" spans="1:3">
      <c r="A7" s="8">
        <v>2</v>
      </c>
      <c r="B7" s="9" t="s">
        <v>104</v>
      </c>
      <c r="C7" s="8">
        <f>COUNTA(Dataset[Product Name])</f>
        <v>34</v>
      </c>
    </row>
    <row r="8" spans="1:3">
      <c r="A8" s="8">
        <v>3</v>
      </c>
      <c r="B8" s="9" t="s">
        <v>105</v>
      </c>
      <c r="C8" s="8">
        <f>AVERAGE(Dataset[Price ($)])</f>
        <v>297.05882352941177</v>
      </c>
    </row>
    <row r="11" spans="1:3" ht="15.75">
      <c r="A11" s="10" t="s">
        <v>106</v>
      </c>
    </row>
    <row r="12" spans="1:3" ht="15.75">
      <c r="A12" s="4" t="s">
        <v>107</v>
      </c>
    </row>
    <row r="13" spans="1:3" ht="15.75">
      <c r="A13" s="11" t="s">
        <v>100</v>
      </c>
      <c r="B13" s="6" t="s">
        <v>101</v>
      </c>
      <c r="C13" s="7" t="s">
        <v>102</v>
      </c>
    </row>
    <row r="14" spans="1:3">
      <c r="A14" s="8">
        <v>1</v>
      </c>
      <c r="B14" s="8" t="s">
        <v>108</v>
      </c>
      <c r="C14" s="8">
        <f>MIN(Dataset[Price ($)])</f>
        <v>30</v>
      </c>
    </row>
    <row r="15" spans="1:3">
      <c r="A15" s="8">
        <v>2</v>
      </c>
      <c r="B15" s="8" t="s">
        <v>109</v>
      </c>
      <c r="C15" s="8">
        <f>MAX(Dataset[Price ($)])</f>
        <v>1000</v>
      </c>
    </row>
    <row r="16" spans="1:3">
      <c r="A16" s="12"/>
      <c r="B16" s="12"/>
    </row>
    <row r="18" spans="1:3" ht="15.75">
      <c r="A18" s="10" t="s">
        <v>110</v>
      </c>
    </row>
    <row r="19" spans="1:3" ht="15.75">
      <c r="A19" s="4" t="s">
        <v>111</v>
      </c>
    </row>
    <row r="20" spans="1:3" ht="15.75">
      <c r="A20" s="4" t="s">
        <v>112</v>
      </c>
    </row>
    <row r="21" spans="1:3">
      <c r="A21" s="8" t="s">
        <v>113</v>
      </c>
    </row>
    <row r="22" spans="1:3">
      <c r="A22" s="8" t="s">
        <v>114</v>
      </c>
    </row>
    <row r="23" spans="1:3">
      <c r="A23" s="8" t="s">
        <v>115</v>
      </c>
    </row>
    <row r="24" spans="1:3">
      <c r="A24" s="8" t="s">
        <v>116</v>
      </c>
    </row>
    <row r="26" spans="1:3" ht="15.75">
      <c r="A26" s="10" t="s">
        <v>117</v>
      </c>
    </row>
    <row r="27" spans="1:3" ht="15.75">
      <c r="A27" s="4" t="s">
        <v>118</v>
      </c>
    </row>
    <row r="28" spans="1:3" ht="15.75">
      <c r="A28" s="11" t="s">
        <v>100</v>
      </c>
      <c r="B28" s="6" t="s">
        <v>101</v>
      </c>
      <c r="C28" s="13" t="s">
        <v>102</v>
      </c>
    </row>
    <row r="29" spans="1:3">
      <c r="A29" s="8">
        <v>1</v>
      </c>
      <c r="B29" s="14" t="s">
        <v>119</v>
      </c>
      <c r="C29" s="8">
        <f>SUMIF(Dataset[Category],"Electronics",Dataset[Price ($)])</f>
        <v>8050</v>
      </c>
    </row>
    <row r="30" spans="1:3">
      <c r="A30" s="8">
        <v>2</v>
      </c>
      <c r="B30" s="14" t="s">
        <v>120</v>
      </c>
      <c r="C30" s="8">
        <f>COUNTIF(Dataset[Price ($)],"&lt;100")</f>
        <v>11</v>
      </c>
    </row>
    <row r="32" spans="1:3" ht="15.75">
      <c r="A32" s="10" t="s">
        <v>121</v>
      </c>
    </row>
    <row r="33" spans="1:3">
      <c r="A33" s="5" t="s">
        <v>122</v>
      </c>
    </row>
    <row r="34" spans="1:3">
      <c r="A34" s="5" t="s">
        <v>123</v>
      </c>
    </row>
    <row r="35" spans="1:3" ht="15.75">
      <c r="A35" s="11" t="s">
        <v>100</v>
      </c>
      <c r="B35" s="6" t="s">
        <v>101</v>
      </c>
      <c r="C35" s="7" t="s">
        <v>102</v>
      </c>
    </row>
    <row r="36" spans="1:3">
      <c r="A36" s="15">
        <v>1</v>
      </c>
      <c r="B36" s="15" t="s">
        <v>124</v>
      </c>
      <c r="C36" s="15"/>
    </row>
    <row r="37" spans="1:3">
      <c r="A37" s="8"/>
      <c r="B37" s="16" t="s">
        <v>125</v>
      </c>
      <c r="C37" s="8"/>
    </row>
    <row r="38" spans="1:3">
      <c r="A38" s="8">
        <v>2</v>
      </c>
      <c r="B38" s="8" t="s">
        <v>126</v>
      </c>
      <c r="C38" s="8"/>
    </row>
    <row r="39" spans="1:3">
      <c r="A39" s="8"/>
      <c r="B39" s="8" t="s">
        <v>127</v>
      </c>
      <c r="C39" s="8"/>
    </row>
    <row r="40" spans="1:3">
      <c r="A40" s="8">
        <v>3</v>
      </c>
      <c r="B40" s="8" t="s">
        <v>128</v>
      </c>
      <c r="C40" s="8"/>
    </row>
    <row r="41" spans="1:3">
      <c r="A41" s="8"/>
      <c r="B41" s="8" t="s">
        <v>129</v>
      </c>
      <c r="C4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suba RK</cp:lastModifiedBy>
  <cp:revision/>
  <dcterms:created xsi:type="dcterms:W3CDTF">2026-10-26T04:21:46Z</dcterms:created>
  <dcterms:modified xsi:type="dcterms:W3CDTF">2026-10-29T02:48:46Z</dcterms:modified>
  <cp:category/>
  <cp:contentStatus/>
</cp:coreProperties>
</file>